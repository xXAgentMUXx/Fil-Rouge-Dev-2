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rban\Documents\fil rouge dev2 (Infra)\"/>
    </mc:Choice>
  </mc:AlternateContent>
  <xr:revisionPtr revIDLastSave="0" documentId="13_ncr:1_{E4A3F0BD-DCED-486B-B3F3-94BC98A2B7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iege" sheetId="1" r:id="rId1"/>
    <sheet name="Agence_type" sheetId="2" r:id="rId2"/>
    <sheet name="Global" sheetId="3" r:id="rId3"/>
    <sheet name="Clou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D4" i="2"/>
  <c r="D3" i="2"/>
  <c r="D2" i="2"/>
  <c r="D5" i="2" s="1"/>
  <c r="D6" i="2" s="1"/>
  <c r="B3" i="3" s="1"/>
  <c r="D6" i="1"/>
  <c r="D5" i="1"/>
  <c r="D4" i="1"/>
  <c r="D3" i="1"/>
  <c r="D2" i="1"/>
  <c r="D7" i="1" s="1"/>
  <c r="B2" i="3" s="1"/>
  <c r="B4" i="3" s="1"/>
</calcChain>
</file>

<file path=xl/sharedStrings.xml><?xml version="1.0" encoding="utf-8"?>
<sst xmlns="http://schemas.openxmlformats.org/spreadsheetml/2006/main" count="29" uniqueCount="23">
  <si>
    <t>Equipement</t>
  </si>
  <si>
    <t>Quantité</t>
  </si>
  <si>
    <t>Prix unitaire (€)</t>
  </si>
  <si>
    <t>Total (€)</t>
  </si>
  <si>
    <t>Serveur physique</t>
  </si>
  <si>
    <t>Switch réseau</t>
  </si>
  <si>
    <t>Routeur / Firewall</t>
  </si>
  <si>
    <t>Postes utilisateurs</t>
  </si>
  <si>
    <t>Imprimante</t>
  </si>
  <si>
    <t>Total siège</t>
  </si>
  <si>
    <t>Routeur</t>
  </si>
  <si>
    <t>Total par agence</t>
  </si>
  <si>
    <t>Total 12 agences</t>
  </si>
  <si>
    <t>Element</t>
  </si>
  <si>
    <t>Coût (€)</t>
  </si>
  <si>
    <t>Siège</t>
  </si>
  <si>
    <t>Agences</t>
  </si>
  <si>
    <t>Total global</t>
  </si>
  <si>
    <t>Service</t>
  </si>
  <si>
    <t>Prix mensuel (€)</t>
  </si>
  <si>
    <t>Stockage (backup)</t>
  </si>
  <si>
    <t>VM cloud (optionnel)</t>
  </si>
  <si>
    <t>Total 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</si>
</sst>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7" sqref="D7"/>
    </sheetView>
  </sheetViews>
  <sheetFormatPr baseColWidth="10" defaultColWidth="8.88671875" defaultRowHeight="14.4" x14ac:dyDescent="0.3"/>
  <cols>
    <col min="1" max="1" width="22.44140625" customWidth="1"/>
    <col min="3" max="3" width="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</v>
      </c>
      <c r="C2">
        <v>2500</v>
      </c>
      <c r="D2">
        <f>B2*C2</f>
        <v>5000</v>
      </c>
    </row>
    <row r="3" spans="1:4" x14ac:dyDescent="0.3">
      <c r="A3" t="s">
        <v>5</v>
      </c>
      <c r="B3">
        <v>1</v>
      </c>
      <c r="C3">
        <v>500</v>
      </c>
      <c r="D3">
        <f>B3*C3</f>
        <v>500</v>
      </c>
    </row>
    <row r="4" spans="1:4" x14ac:dyDescent="0.3">
      <c r="A4" t="s">
        <v>6</v>
      </c>
      <c r="B4">
        <v>1</v>
      </c>
      <c r="C4">
        <v>800</v>
      </c>
      <c r="D4">
        <f>B4*C4</f>
        <v>800</v>
      </c>
    </row>
    <row r="5" spans="1:4" x14ac:dyDescent="0.3">
      <c r="A5" t="s">
        <v>7</v>
      </c>
      <c r="B5">
        <v>30</v>
      </c>
      <c r="C5">
        <v>800</v>
      </c>
      <c r="D5">
        <f>B5*C5</f>
        <v>24000</v>
      </c>
    </row>
    <row r="6" spans="1:4" x14ac:dyDescent="0.3">
      <c r="A6" t="s">
        <v>8</v>
      </c>
      <c r="B6">
        <v>1</v>
      </c>
      <c r="C6">
        <v>300</v>
      </c>
      <c r="D6">
        <f>B6*C6</f>
        <v>300</v>
      </c>
    </row>
    <row r="7" spans="1:4" x14ac:dyDescent="0.3">
      <c r="C7" t="s">
        <v>9</v>
      </c>
      <c r="D7">
        <f>SUM(D2:D6)</f>
        <v>30600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8671875" defaultRowHeight="14.4" x14ac:dyDescent="0.3"/>
  <cols>
    <col min="1" max="1" width="17.44140625" customWidth="1"/>
    <col min="3" max="3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</v>
      </c>
      <c r="B2">
        <v>1</v>
      </c>
      <c r="C2">
        <v>300</v>
      </c>
      <c r="D2">
        <f>B2*C2</f>
        <v>300</v>
      </c>
    </row>
    <row r="3" spans="1:4" x14ac:dyDescent="0.3">
      <c r="A3" t="s">
        <v>7</v>
      </c>
      <c r="B3">
        <v>5</v>
      </c>
      <c r="C3">
        <v>800</v>
      </c>
      <c r="D3">
        <f>B3*C3</f>
        <v>4000</v>
      </c>
    </row>
    <row r="4" spans="1:4" x14ac:dyDescent="0.3">
      <c r="A4" t="s">
        <v>8</v>
      </c>
      <c r="B4">
        <v>1</v>
      </c>
      <c r="C4">
        <v>200</v>
      </c>
      <c r="D4">
        <f>B4*C4</f>
        <v>200</v>
      </c>
    </row>
    <row r="5" spans="1:4" x14ac:dyDescent="0.3">
      <c r="C5" t="s">
        <v>11</v>
      </c>
      <c r="D5">
        <f>SUM(D2:D4)</f>
        <v>4500</v>
      </c>
    </row>
    <row r="6" spans="1:4" x14ac:dyDescent="0.3">
      <c r="C6" t="s">
        <v>12</v>
      </c>
      <c r="D6">
        <f>D5*12</f>
        <v>54000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H17" sqref="H17"/>
    </sheetView>
  </sheetViews>
  <sheetFormatPr baseColWidth="10" defaultColWidth="8.88671875" defaultRowHeight="14.4" x14ac:dyDescent="0.3"/>
  <cols>
    <col min="1" max="1" width="12.6640625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f>Siege!D7</f>
        <v>30600</v>
      </c>
    </row>
    <row r="3" spans="1:2" x14ac:dyDescent="0.3">
      <c r="A3" t="s">
        <v>16</v>
      </c>
      <c r="B3">
        <f>Agence_type!D6</f>
        <v>54000</v>
      </c>
    </row>
    <row r="4" spans="1:2" x14ac:dyDescent="0.3">
      <c r="A4" t="s">
        <v>17</v>
      </c>
      <c r="B4">
        <f>B2+B3</f>
        <v>84600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9.5546875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20</v>
      </c>
      <c r="B2">
        <v>50</v>
      </c>
    </row>
    <row r="3" spans="1:2" x14ac:dyDescent="0.3">
      <c r="A3" t="s">
        <v>21</v>
      </c>
      <c r="B3">
        <v>100</v>
      </c>
    </row>
    <row r="4" spans="1:2" x14ac:dyDescent="0.3">
      <c r="A4" t="s">
        <v>22</v>
      </c>
      <c r="B4">
        <f>SUM(B2:B3)</f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Siege</vt:lpstr>
      <vt:lpstr>Agence_type</vt:lpstr>
      <vt:lpstr>Global</vt:lpstr>
      <vt:lpstr>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URBAN Mathys</cp:lastModifiedBy>
  <dcterms:created xsi:type="dcterms:W3CDTF">2026-04-09T10:41:20Z</dcterms:created>
  <dcterms:modified xsi:type="dcterms:W3CDTF">2026-04-09T15:24:53Z</dcterms:modified>
</cp:coreProperties>
</file>